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icket" sheetId="1" state="visible" r:id="rId3"/>
    <sheet name="feedbacks" sheetId="2" state="visible" r:id="rId4"/>
    <sheet name="Analysi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<sst xmlns="http://schemas.openxmlformats.org/spreadsheetml/2006/main" count="133" uniqueCount="67">
  <si>
    <t xml:space="preserve">ticket_id</t>
  </si>
  <si>
    <t xml:space="preserve">created_at</t>
  </si>
  <si>
    <t xml:space="preserve">closed_at</t>
  </si>
  <si>
    <t xml:space="preserve">outlet_id</t>
  </si>
  <si>
    <t xml:space="preserve">cms_id</t>
  </si>
  <si>
    <t xml:space="preserve">isu-sjd-457</t>
  </si>
  <si>
    <t xml:space="preserve">2021-08-19 16:45:43</t>
  </si>
  <si>
    <t xml:space="preserve">2021-08-22 12:33:32</t>
  </si>
  <si>
    <t xml:space="preserve">wrqy-juv-978</t>
  </si>
  <si>
    <t xml:space="preserve">vew-iuvd-12</t>
  </si>
  <si>
    <t xml:space="preserve">qer-fal-092</t>
  </si>
  <si>
    <t xml:space="preserve">2021-08-21 11:09:22</t>
  </si>
  <si>
    <t xml:space="preserve">2021-08-21 17:13:45</t>
  </si>
  <si>
    <t xml:space="preserve">8woh-k3u-23b</t>
  </si>
  <si>
    <t xml:space="preserve">cms-abc-001</t>
  </si>
  <si>
    <t xml:space="preserve">tkt-mno-103</t>
  </si>
  <si>
    <t xml:space="preserve">2021-08-22 08:30:00</t>
  </si>
  <si>
    <t xml:space="preserve">2021-08-22 09:45:00</t>
  </si>
  <si>
    <t xml:space="preserve">cms-def-002</t>
  </si>
  <si>
    <t xml:space="preserve">tkt-pqr-204</t>
  </si>
  <si>
    <t xml:space="preserve">2021-08-23 14:00:00</t>
  </si>
  <si>
    <t xml:space="preserve">2021-08-24 10:00:00</t>
  </si>
  <si>
    <t xml:space="preserve">out-xyz-333</t>
  </si>
  <si>
    <t xml:space="preserve">cms-ghi-003</t>
  </si>
  <si>
    <t xml:space="preserve">tkt-stu-305</t>
  </si>
  <si>
    <t xml:space="preserve">2021-08-24 09:15:00</t>
  </si>
  <si>
    <t xml:space="preserve">2021-08-24 09:50:00</t>
  </si>
  <si>
    <t xml:space="preserve">cms-jkl-004</t>
  </si>
  <si>
    <t xml:space="preserve">tkt-vwx-406</t>
  </si>
  <si>
    <t xml:space="preserve">2021-08-25 11:00:00</t>
  </si>
  <si>
    <t xml:space="preserve">2021-08-25 11:45:00</t>
  </si>
  <si>
    <t xml:space="preserve">cms-mno-005</t>
  </si>
  <si>
    <t xml:space="preserve">tkt-yz1-507</t>
  </si>
  <si>
    <t xml:space="preserve">2021-08-26 16:00:00</t>
  </si>
  <si>
    <t xml:space="preserve">2021-08-27 16:30:00</t>
  </si>
  <si>
    <t xml:space="preserve">cms-pqr-006</t>
  </si>
  <si>
    <t xml:space="preserve">tkt-234-608</t>
  </si>
  <si>
    <t xml:space="preserve">2021-08-27 10:30:00</t>
  </si>
  <si>
    <t xml:space="preserve">2021-08-27 10:55:00</t>
  </si>
  <si>
    <t xml:space="preserve">cms-stu-007</t>
  </si>
  <si>
    <t xml:space="preserve">tkt-567-709</t>
  </si>
  <si>
    <t xml:space="preserve">2021-08-28 13:00:00</t>
  </si>
  <si>
    <t xml:space="preserve">2021-08-28 14:00:00</t>
  </si>
  <si>
    <t xml:space="preserve">cms-vwx-008</t>
  </si>
  <si>
    <t xml:space="preserve">tkt-890-810</t>
  </si>
  <si>
    <t xml:space="preserve">2021-08-29 09:00:00</t>
  </si>
  <si>
    <t xml:space="preserve">2021-08-29 09:10:00</t>
  </si>
  <si>
    <t xml:space="preserve">cms-yz1-009</t>
  </si>
  <si>
    <t xml:space="preserve">feedback_at</t>
  </si>
  <si>
    <t xml:space="preserve">feedback_rating</t>
  </si>
  <si>
    <t xml:space="preserve">ticket_created_at</t>
  </si>
  <si>
    <t xml:space="preserve">2021-08-21 13:26:48</t>
  </si>
  <si>
    <t xml:space="preserve">2021-08-22 09:00:00</t>
  </si>
  <si>
    <t xml:space="preserve">2021-08-23 11:00:00</t>
  </si>
  <si>
    <t xml:space="preserve">2021-08-25 08:00:00</t>
  </si>
  <si>
    <t xml:space="preserve">2021-08-25 10:30:00</t>
  </si>
  <si>
    <t xml:space="preserve">2021-08-26 12:00:00</t>
  </si>
  <si>
    <t xml:space="preserve">2021-08-28 09:00:00</t>
  </si>
  <si>
    <t xml:space="preserve">2021-08-28 11:30:00</t>
  </si>
  <si>
    <t xml:space="preserve">2021-08-29 15:00:00</t>
  </si>
  <si>
    <t xml:space="preserve">2021-08-30 10:00:00</t>
  </si>
  <si>
    <t xml:space="preserve">Q2 — Outlet-wise ticket count: Created &amp; Closed same day / same hour</t>
  </si>
  <si>
    <t xml:space="preserve">Same Day?</t>
  </si>
  <si>
    <t xml:space="preserve">Same Hour of Same Day?</t>
  </si>
  <si>
    <t xml:space="preserve">Summary: Outlet-wise Counts</t>
  </si>
  <si>
    <t xml:space="preserve">Same Day Count</t>
  </si>
  <si>
    <t xml:space="preserve">Same Hour Count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</si>
</sst>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2F5496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rgb="FFDCE6F1"/>
        <bgColor rgb="FFE2EFDA"/>
      </patternFill>
    </fill>
    <fill>
      <patternFill patternType="solid">
        <fgColor rgb="FFE2EFDA"/>
        <bgColor rgb="FFDCE6F1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1" xfId="0" applyFont="fals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6F1"/>
      <rgbColor rgb="FF660066"/>
      <rgbColor rgb="FFFF8080"/>
      <rgbColor rgb="FF0066CC"/>
      <rgbColor rgb="FFB8C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22"/>
    <col collapsed="false" customWidth="true" hidden="false" outlineLevel="0" max="4" min="4" style="0" width="18"/>
    <col collapsed="false" customWidth="true" hidden="false" outlineLevel="0" max="5" min="5" style="0" width="1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customFormat="false" ht="15" hidden="false" customHeight="false" outlineLevel="0" collapsed="false">
      <c r="A3" s="3" t="s">
        <v>10</v>
      </c>
      <c r="B3" s="3" t="s">
        <v>11</v>
      </c>
      <c r="C3" s="3" t="s">
        <v>12</v>
      </c>
      <c r="D3" s="3" t="s">
        <v>13</v>
      </c>
      <c r="E3" s="3" t="s">
        <v>14</v>
      </c>
    </row>
    <row r="4" customFormat="false" ht="15" hidden="false" customHeight="false" outlineLevel="0" collapsed="false">
      <c r="A4" s="2" t="s">
        <v>15</v>
      </c>
      <c r="B4" s="2" t="s">
        <v>16</v>
      </c>
      <c r="C4" s="2" t="s">
        <v>17</v>
      </c>
      <c r="D4" s="2" t="s">
        <v>8</v>
      </c>
      <c r="E4" s="2" t="s">
        <v>18</v>
      </c>
    </row>
    <row r="5" customFormat="false" ht="15" hidden="false" customHeight="false" outlineLevel="0" collapsed="false">
      <c r="A5" s="3" t="s">
        <v>19</v>
      </c>
      <c r="B5" s="3" t="s">
        <v>20</v>
      </c>
      <c r="C5" s="3" t="s">
        <v>21</v>
      </c>
      <c r="D5" s="3" t="s">
        <v>22</v>
      </c>
      <c r="E5" s="3" t="s">
        <v>23</v>
      </c>
    </row>
    <row r="6" customFormat="false" ht="15" hidden="false" customHeight="false" outlineLevel="0" collapsed="false">
      <c r="A6" s="2" t="s">
        <v>24</v>
      </c>
      <c r="B6" s="2" t="s">
        <v>25</v>
      </c>
      <c r="C6" s="2" t="s">
        <v>26</v>
      </c>
      <c r="D6" s="2" t="s">
        <v>13</v>
      </c>
      <c r="E6" s="2" t="s">
        <v>27</v>
      </c>
    </row>
    <row r="7" customFormat="false" ht="15" hidden="false" customHeight="false" outlineLevel="0" collapsed="false">
      <c r="A7" s="3" t="s">
        <v>28</v>
      </c>
      <c r="B7" s="3" t="s">
        <v>29</v>
      </c>
      <c r="C7" s="3" t="s">
        <v>30</v>
      </c>
      <c r="D7" s="3" t="s">
        <v>8</v>
      </c>
      <c r="E7" s="3" t="s">
        <v>31</v>
      </c>
    </row>
    <row r="8" customFormat="false" ht="15" hidden="false" customHeight="false" outlineLevel="0" collapsed="false">
      <c r="A8" s="2" t="s">
        <v>32</v>
      </c>
      <c r="B8" s="2" t="s">
        <v>33</v>
      </c>
      <c r="C8" s="2" t="s">
        <v>34</v>
      </c>
      <c r="D8" s="2" t="s">
        <v>22</v>
      </c>
      <c r="E8" s="2" t="s">
        <v>35</v>
      </c>
    </row>
    <row r="9" customFormat="false" ht="15" hidden="false" customHeight="false" outlineLevel="0" collapsed="false">
      <c r="A9" s="3" t="s">
        <v>36</v>
      </c>
      <c r="B9" s="3" t="s">
        <v>37</v>
      </c>
      <c r="C9" s="3" t="s">
        <v>38</v>
      </c>
      <c r="D9" s="3" t="s">
        <v>13</v>
      </c>
      <c r="E9" s="3" t="s">
        <v>39</v>
      </c>
    </row>
    <row r="10" customFormat="false" ht="15" hidden="false" customHeight="false" outlineLevel="0" collapsed="false">
      <c r="A10" s="2" t="s">
        <v>40</v>
      </c>
      <c r="B10" s="2" t="s">
        <v>41</v>
      </c>
      <c r="C10" s="2" t="s">
        <v>42</v>
      </c>
      <c r="D10" s="2" t="s">
        <v>8</v>
      </c>
      <c r="E10" s="2" t="s">
        <v>43</v>
      </c>
    </row>
    <row r="11" customFormat="false" ht="15" hidden="false" customHeight="false" outlineLevel="0" collapsed="false">
      <c r="A11" s="3" t="s">
        <v>44</v>
      </c>
      <c r="B11" s="3" t="s">
        <v>45</v>
      </c>
      <c r="C11" s="3" t="s">
        <v>46</v>
      </c>
      <c r="D11" s="3" t="s">
        <v>22</v>
      </c>
      <c r="E11" s="3" t="s">
        <v>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4" min="4" style="0" width="24"/>
  </cols>
  <sheetData>
    <row r="1" customFormat="false" ht="15" hidden="false" customHeight="false" outlineLevel="0" collapsed="false">
      <c r="A1" s="1" t="s">
        <v>4</v>
      </c>
      <c r="B1" s="1" t="s">
        <v>48</v>
      </c>
      <c r="C1" s="1" t="s">
        <v>49</v>
      </c>
      <c r="D1" s="1" t="s">
        <v>50</v>
      </c>
    </row>
    <row r="2" customFormat="false" ht="15" hidden="false" customHeight="false" outlineLevel="0" collapsed="false">
      <c r="A2" s="2" t="s">
        <v>9</v>
      </c>
      <c r="B2" s="2" t="s">
        <v>51</v>
      </c>
      <c r="C2" s="2" t="n">
        <v>3</v>
      </c>
      <c r="D2" s="4" t="str">
        <f aca="false">IFERROR(VLOOKUP(A2,ticket!$E:$B,2,FALSE()),"Not Found")</f>
        <v>Not Found</v>
      </c>
    </row>
    <row r="3" customFormat="false" ht="15" hidden="false" customHeight="false" outlineLevel="0" collapsed="false">
      <c r="A3" s="3" t="s">
        <v>14</v>
      </c>
      <c r="B3" s="3" t="s">
        <v>52</v>
      </c>
      <c r="C3" s="3" t="n">
        <v>5</v>
      </c>
      <c r="D3" s="4" t="str">
        <f aca="false">IFERROR(VLOOKUP(A3,ticket!$E:$B,2,FALSE()),"Not Found")</f>
        <v>Not Found</v>
      </c>
    </row>
    <row r="4" customFormat="false" ht="15" hidden="false" customHeight="false" outlineLevel="0" collapsed="false">
      <c r="A4" s="2" t="s">
        <v>18</v>
      </c>
      <c r="B4" s="2" t="s">
        <v>53</v>
      </c>
      <c r="C4" s="2" t="n">
        <v>4</v>
      </c>
      <c r="D4" s="4" t="str">
        <f aca="false">IFERROR(VLOOKUP(A4,ticket!$E:$B,2,FALSE()),"Not Found")</f>
        <v>Not Found</v>
      </c>
    </row>
    <row r="5" customFormat="false" ht="15" hidden="false" customHeight="false" outlineLevel="0" collapsed="false">
      <c r="A5" s="3" t="s">
        <v>23</v>
      </c>
      <c r="B5" s="3" t="s">
        <v>54</v>
      </c>
      <c r="C5" s="3" t="n">
        <v>2</v>
      </c>
      <c r="D5" s="4" t="str">
        <f aca="false">IFERROR(VLOOKUP(A5,ticket!$E:$B,2,FALSE()),"Not Found")</f>
        <v>Not Found</v>
      </c>
    </row>
    <row r="6" customFormat="false" ht="15" hidden="false" customHeight="false" outlineLevel="0" collapsed="false">
      <c r="A6" s="2" t="s">
        <v>27</v>
      </c>
      <c r="B6" s="2" t="s">
        <v>55</v>
      </c>
      <c r="C6" s="2" t="n">
        <v>5</v>
      </c>
      <c r="D6" s="4" t="str">
        <f aca="false">IFERROR(VLOOKUP(A6,ticket!$E:$B,2,FALSE()),"Not Found")</f>
        <v>Not Found</v>
      </c>
    </row>
    <row r="7" customFormat="false" ht="15" hidden="false" customHeight="false" outlineLevel="0" collapsed="false">
      <c r="A7" s="3" t="s">
        <v>31</v>
      </c>
      <c r="B7" s="3" t="s">
        <v>56</v>
      </c>
      <c r="C7" s="3" t="n">
        <v>3</v>
      </c>
      <c r="D7" s="4" t="str">
        <f aca="false">IFERROR(VLOOKUP(A7,ticket!$E:$B,2,FALSE()),"Not Found")</f>
        <v>Not Found</v>
      </c>
    </row>
    <row r="8" customFormat="false" ht="15" hidden="false" customHeight="false" outlineLevel="0" collapsed="false">
      <c r="A8" s="2" t="s">
        <v>35</v>
      </c>
      <c r="B8" s="2" t="s">
        <v>57</v>
      </c>
      <c r="C8" s="2" t="n">
        <v>4</v>
      </c>
      <c r="D8" s="4" t="str">
        <f aca="false">IFERROR(VLOOKUP(A8,ticket!$E:$B,2,FALSE()),"Not Found")</f>
        <v>Not Found</v>
      </c>
    </row>
    <row r="9" customFormat="false" ht="15" hidden="false" customHeight="false" outlineLevel="0" collapsed="false">
      <c r="A9" s="3" t="s">
        <v>39</v>
      </c>
      <c r="B9" s="3" t="s">
        <v>58</v>
      </c>
      <c r="C9" s="3" t="n">
        <v>5</v>
      </c>
      <c r="D9" s="4" t="str">
        <f aca="false">IFERROR(VLOOKUP(A9,ticket!$E:$B,2,FALSE()),"Not Found")</f>
        <v>Not Found</v>
      </c>
    </row>
    <row r="10" customFormat="false" ht="15" hidden="false" customHeight="false" outlineLevel="0" collapsed="false">
      <c r="A10" s="2" t="s">
        <v>43</v>
      </c>
      <c r="B10" s="2" t="s">
        <v>59</v>
      </c>
      <c r="C10" s="2" t="n">
        <v>1</v>
      </c>
      <c r="D10" s="4" t="str">
        <f aca="false">IFERROR(VLOOKUP(A10,ticket!$E:$B,2,FALSE()),"Not Found")</f>
        <v>Not Found</v>
      </c>
    </row>
    <row r="11" customFormat="false" ht="15" hidden="false" customHeight="false" outlineLevel="0" collapsed="false">
      <c r="A11" s="3" t="s">
        <v>47</v>
      </c>
      <c r="B11" s="3" t="s">
        <v>60</v>
      </c>
      <c r="C11" s="3" t="n">
        <v>4</v>
      </c>
      <c r="D11" s="4" t="str">
        <f aca="false">IFERROR(VLOOKUP(A11,ticket!$E:$B,2,FALSE()),"Not Found")</f>
        <v>Not Found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8"/>
    <col collapsed="false" customWidth="true" hidden="false" outlineLevel="0" max="4" min="3" style="0" width="24"/>
    <col collapsed="false" customWidth="true" hidden="false" outlineLevel="0" max="5" min="5" style="0" width="14"/>
    <col collapsed="false" customWidth="true" hidden="false" outlineLevel="0" max="6" min="6" style="0" width="24"/>
  </cols>
  <sheetData>
    <row r="1" customFormat="false" ht="15" hidden="false" customHeight="false" outlineLevel="0" collapsed="false">
      <c r="A1" s="5" t="s">
        <v>61</v>
      </c>
    </row>
    <row r="3" customFormat="false" ht="15" hidden="false" customHeight="false" outlineLevel="0" collapsed="false">
      <c r="A3" s="1" t="s">
        <v>0</v>
      </c>
      <c r="B3" s="1" t="s">
        <v>3</v>
      </c>
      <c r="C3" s="1" t="s">
        <v>1</v>
      </c>
      <c r="D3" s="1" t="s">
        <v>2</v>
      </c>
      <c r="E3" s="1" t="s">
        <v>62</v>
      </c>
      <c r="F3" s="1" t="s">
        <v>63</v>
      </c>
    </row>
    <row r="4" customFormat="false" ht="15" hidden="false" customHeight="false" outlineLevel="0" collapsed="false">
      <c r="A4" s="2" t="s">
        <v>5</v>
      </c>
      <c r="B4" s="2" t="s">
        <v>8</v>
      </c>
      <c r="C4" s="2" t="s">
        <v>6</v>
      </c>
      <c r="D4" s="2" t="s">
        <v>7</v>
      </c>
      <c r="E4" s="4" t="str">
        <f aca="false">IF(INT(C4)=INT(D4),"Yes","No")</f>
        <v>No</v>
      </c>
      <c r="F4" s="4" t="str">
        <f aca="false">IF(AND(INT(C4)=INT(D4),HOUR(C4)=HOUR(D4)),"Yes","No")</f>
        <v>No</v>
      </c>
    </row>
    <row r="5" customFormat="false" ht="15" hidden="false" customHeight="false" outlineLevel="0" collapsed="false">
      <c r="A5" s="3" t="s">
        <v>10</v>
      </c>
      <c r="B5" s="3" t="s">
        <v>13</v>
      </c>
      <c r="C5" s="3" t="s">
        <v>11</v>
      </c>
      <c r="D5" s="3" t="s">
        <v>12</v>
      </c>
      <c r="E5" s="4" t="str">
        <f aca="false">IF(INT(C5)=INT(D5),"Yes","No")</f>
        <v>Yes</v>
      </c>
      <c r="F5" s="4" t="str">
        <f aca="false">IF(AND(INT(C5)=INT(D5),HOUR(C5)=HOUR(D5)),"Yes","No")</f>
        <v>No</v>
      </c>
    </row>
    <row r="6" customFormat="false" ht="15" hidden="false" customHeight="false" outlineLevel="0" collapsed="false">
      <c r="A6" s="2" t="s">
        <v>15</v>
      </c>
      <c r="B6" s="2" t="s">
        <v>8</v>
      </c>
      <c r="C6" s="2" t="s">
        <v>16</v>
      </c>
      <c r="D6" s="2" t="s">
        <v>17</v>
      </c>
      <c r="E6" s="4" t="str">
        <f aca="false">IF(INT(C6)=INT(D6),"Yes","No")</f>
        <v>Yes</v>
      </c>
      <c r="F6" s="4" t="str">
        <f aca="false">IF(AND(INT(C6)=INT(D6),HOUR(C6)=HOUR(D6)),"Yes","No")</f>
        <v>No</v>
      </c>
    </row>
    <row r="7" customFormat="false" ht="15" hidden="false" customHeight="false" outlineLevel="0" collapsed="false">
      <c r="A7" s="3" t="s">
        <v>19</v>
      </c>
      <c r="B7" s="3" t="s">
        <v>22</v>
      </c>
      <c r="C7" s="3" t="s">
        <v>20</v>
      </c>
      <c r="D7" s="3" t="s">
        <v>21</v>
      </c>
      <c r="E7" s="4" t="str">
        <f aca="false">IF(INT(C7)=INT(D7),"Yes","No")</f>
        <v>No</v>
      </c>
      <c r="F7" s="4" t="str">
        <f aca="false">IF(AND(INT(C7)=INT(D7),HOUR(C7)=HOUR(D7)),"Yes","No")</f>
        <v>No</v>
      </c>
    </row>
    <row r="8" customFormat="false" ht="15" hidden="false" customHeight="false" outlineLevel="0" collapsed="false">
      <c r="A8" s="2" t="s">
        <v>24</v>
      </c>
      <c r="B8" s="2" t="s">
        <v>13</v>
      </c>
      <c r="C8" s="2" t="s">
        <v>25</v>
      </c>
      <c r="D8" s="2" t="s">
        <v>26</v>
      </c>
      <c r="E8" s="4" t="str">
        <f aca="false">IF(INT(C8)=INT(D8),"Yes","No")</f>
        <v>Yes</v>
      </c>
      <c r="F8" s="4" t="str">
        <f aca="false">IF(AND(INT(C8)=INT(D8),HOUR(C8)=HOUR(D8)),"Yes","No")</f>
        <v>Yes</v>
      </c>
    </row>
    <row r="9" customFormat="false" ht="15" hidden="false" customHeight="false" outlineLevel="0" collapsed="false">
      <c r="A9" s="3" t="s">
        <v>28</v>
      </c>
      <c r="B9" s="3" t="s">
        <v>8</v>
      </c>
      <c r="C9" s="3" t="s">
        <v>29</v>
      </c>
      <c r="D9" s="3" t="s">
        <v>30</v>
      </c>
      <c r="E9" s="4" t="str">
        <f aca="false">IF(INT(C9)=INT(D9),"Yes","No")</f>
        <v>Yes</v>
      </c>
      <c r="F9" s="4" t="str">
        <f aca="false">IF(AND(INT(C9)=INT(D9),HOUR(C9)=HOUR(D9)),"Yes","No")</f>
        <v>Yes</v>
      </c>
    </row>
    <row r="10" customFormat="false" ht="15" hidden="false" customHeight="false" outlineLevel="0" collapsed="false">
      <c r="A10" s="2" t="s">
        <v>32</v>
      </c>
      <c r="B10" s="2" t="s">
        <v>22</v>
      </c>
      <c r="C10" s="2" t="s">
        <v>33</v>
      </c>
      <c r="D10" s="2" t="s">
        <v>34</v>
      </c>
      <c r="E10" s="4" t="str">
        <f aca="false">IF(INT(C10)=INT(D10),"Yes","No")</f>
        <v>No</v>
      </c>
      <c r="F10" s="4" t="str">
        <f aca="false">IF(AND(INT(C10)=INT(D10),HOUR(C10)=HOUR(D10)),"Yes","No")</f>
        <v>No</v>
      </c>
    </row>
    <row r="11" customFormat="false" ht="15" hidden="false" customHeight="false" outlineLevel="0" collapsed="false">
      <c r="A11" s="3" t="s">
        <v>36</v>
      </c>
      <c r="B11" s="3" t="s">
        <v>13</v>
      </c>
      <c r="C11" s="3" t="s">
        <v>37</v>
      </c>
      <c r="D11" s="3" t="s">
        <v>38</v>
      </c>
      <c r="E11" s="4" t="str">
        <f aca="false">IF(INT(C11)=INT(D11),"Yes","No")</f>
        <v>Yes</v>
      </c>
      <c r="F11" s="4" t="str">
        <f aca="false">IF(AND(INT(C11)=INT(D11),HOUR(C11)=HOUR(D11)),"Yes","No")</f>
        <v>Yes</v>
      </c>
    </row>
    <row r="12" customFormat="false" ht="15" hidden="false" customHeight="false" outlineLevel="0" collapsed="false">
      <c r="A12" s="2" t="s">
        <v>40</v>
      </c>
      <c r="B12" s="2" t="s">
        <v>8</v>
      </c>
      <c r="C12" s="2" t="s">
        <v>41</v>
      </c>
      <c r="D12" s="2" t="s">
        <v>42</v>
      </c>
      <c r="E12" s="4" t="str">
        <f aca="false">IF(INT(C12)=INT(D12),"Yes","No")</f>
        <v>Yes</v>
      </c>
      <c r="F12" s="4" t="str">
        <f aca="false">IF(AND(INT(C12)=INT(D12),HOUR(C12)=HOUR(D12)),"Yes","No")</f>
        <v>No</v>
      </c>
    </row>
    <row r="13" customFormat="false" ht="15" hidden="false" customHeight="false" outlineLevel="0" collapsed="false">
      <c r="A13" s="3" t="s">
        <v>44</v>
      </c>
      <c r="B13" s="3" t="s">
        <v>22</v>
      </c>
      <c r="C13" s="3" t="s">
        <v>45</v>
      </c>
      <c r="D13" s="3" t="s">
        <v>46</v>
      </c>
      <c r="E13" s="4" t="str">
        <f aca="false">IF(INT(C13)=INT(D13),"Yes","No")</f>
        <v>Yes</v>
      </c>
      <c r="F13" s="4" t="str">
        <f aca="false">IF(AND(INT(C13)=INT(D13),HOUR(C13)=HOUR(D13)),"Yes","No")</f>
        <v>Yes</v>
      </c>
    </row>
    <row r="16" customFormat="false" ht="15" hidden="false" customHeight="false" outlineLevel="0" collapsed="false">
      <c r="A16" s="6" t="s">
        <v>64</v>
      </c>
    </row>
    <row r="17" customFormat="false" ht="15" hidden="false" customHeight="false" outlineLevel="0" collapsed="false">
      <c r="A17" s="1" t="s">
        <v>3</v>
      </c>
      <c r="B17" s="1" t="s">
        <v>65</v>
      </c>
      <c r="C17" s="1" t="s">
        <v>66</v>
      </c>
    </row>
    <row r="18" customFormat="false" ht="15" hidden="false" customHeight="false" outlineLevel="0" collapsed="false">
      <c r="A18" s="3" t="s">
        <v>13</v>
      </c>
      <c r="B18" s="7" t="n">
        <f aca="false">COUNTIFS($B$4:$B$13,A18,$E$4:$E$13,"Yes")</f>
        <v>3</v>
      </c>
      <c r="C18" s="7" t="n">
        <f aca="false">COUNTIFS($B$4:$B$13,A18,$F$4:$F$13,"Yes")</f>
        <v>2</v>
      </c>
    </row>
    <row r="19" customFormat="false" ht="15" hidden="false" customHeight="false" outlineLevel="0" collapsed="false">
      <c r="A19" s="3" t="s">
        <v>22</v>
      </c>
      <c r="B19" s="7" t="n">
        <f aca="false">COUNTIFS($B$4:$B$13,A19,$E$4:$E$13,"Yes")</f>
        <v>1</v>
      </c>
      <c r="C19" s="7" t="n">
        <f aca="false">COUNTIFS($B$4:$B$13,A19,$F$4:$F$13,"Yes")</f>
        <v>1</v>
      </c>
    </row>
    <row r="20" customFormat="false" ht="15" hidden="false" customHeight="false" outlineLevel="0" collapsed="false">
      <c r="A20" s="3" t="s">
        <v>8</v>
      </c>
      <c r="B20" s="7" t="n">
        <f aca="false">COUNTIFS($B$4:$B$13,A20,$E$4:$E$13,"Yes")</f>
        <v>3</v>
      </c>
      <c r="C20" s="7" t="n">
        <f aca="false">COUNTIFS($B$4:$B$13,A20,$F$4:$F$13,"Yes")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2026-04-08T10:39:41Z</dcterms:created>
  <dc:creator>openpyxl</dc:creator>
  <dc:description/>
  <dc:language>en-US</dc:language>
  <cp:lastModifiedBy/>
  <dcterms:modified xsi:type="dcterms:W3CDTF">2026-04-08T10:39:41Z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